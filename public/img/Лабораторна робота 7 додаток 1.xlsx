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<sst xmlns="http://schemas.openxmlformats.org/spreadsheetml/2006/main" count="36" uniqueCount="36">
  <si>
    <t xml:space="preserve">Відомість продажів автомобілів різних марок</t>
  </si>
  <si>
    <t xml:space="preserve">Поточна дата</t>
  </si>
  <si>
    <t xml:space="preserve">Курс $</t>
  </si>
  <si>
    <t xml:space="preserve">№ пор.</t>
  </si>
  <si>
    <t xml:space="preserve">Марка автомобіля</t>
  </si>
  <si>
    <t xml:space="preserve">Дата надходження у продаж</t>
  </si>
  <si>
    <t xml:space="preserve">Ціна на момент вступу, $</t>
  </si>
  <si>
    <t xml:space="preserve">Поточна ціна, $</t>
  </si>
  <si>
    <t xml:space="preserve">Поточна ціна, грн</t>
  </si>
  <si>
    <t xml:space="preserve">Ауді</t>
  </si>
  <si>
    <t xml:space="preserve">05.03.2024</t>
  </si>
  <si>
    <t xml:space="preserve">БМВ</t>
  </si>
  <si>
    <t xml:space="preserve">12.01.2024</t>
  </si>
  <si>
    <t xml:space="preserve">Мерседес-Бенц</t>
  </si>
  <si>
    <t xml:space="preserve">18.11.2023</t>
  </si>
  <si>
    <t xml:space="preserve">Тойота</t>
  </si>
  <si>
    <t xml:space="preserve">25.08.2023</t>
  </si>
  <si>
    <t xml:space="preserve">Хонда</t>
  </si>
  <si>
    <t xml:space="preserve">14.06.2024</t>
  </si>
  <si>
    <t xml:space="preserve">Вольксваген</t>
  </si>
  <si>
    <t xml:space="preserve">30.09.2023</t>
  </si>
  <si>
    <t xml:space="preserve">Форд</t>
  </si>
  <si>
    <t xml:space="preserve">22.12.2023</t>
  </si>
  <si>
    <t xml:space="preserve">Хюндай</t>
  </si>
  <si>
    <t xml:space="preserve">10.10.2023</t>
  </si>
  <si>
    <t xml:space="preserve">Кия</t>
  </si>
  <si>
    <t xml:space="preserve">27.04.2024</t>
  </si>
  <si>
    <t xml:space="preserve">Ніссан</t>
  </si>
  <si>
    <t xml:space="preserve">03.07.2024</t>
  </si>
  <si>
    <t xml:space="preserve">Прізвище</t>
  </si>
  <si>
    <t xml:space="preserve">Бал</t>
  </si>
  <si>
    <t xml:space="preserve">Оцінка (5-тибальна)</t>
  </si>
  <si>
    <t xml:space="preserve">Іваненко</t>
  </si>
  <si>
    <t xml:space="preserve">Куцовол</t>
  </si>
  <si>
    <t xml:space="preserve">Нагайченко</t>
  </si>
  <si>
    <t xml:space="preserve">Петрук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</si>
</sst>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\.mm\.yyyy;@"/>
    <numFmt numFmtId="166" formatCode="#,##0"/>
    <numFmt numFmtId="167" formatCode="mm/dd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true" showOutlineSymbols="true" defaultGridColor="true" view="normal" topLeftCell="A4" colorId="64" zoomScale="100" zoomScaleNormal="100" zoomScalePageLayoutView="100" workbookViewId="0">
      <selection pane="topLeft" activeCell="B24" activeCellId="0" sqref="B24"/>
    </sheetView>
  </sheetViews>
  <sheetFormatPr defaultColWidth="9.14453125" defaultRowHeight="18.75" customHeight="true" zeroHeight="false" outlineLevelRow="0" outlineLevelCol="0"/>
  <cols>
    <col collapsed="false" customWidth="true" hidden="false" outlineLevel="0" max="1" min="1" style="1" width="10.42"/>
    <col collapsed="false" customWidth="true" hidden="false" outlineLevel="0" max="2" min="2" style="1" width="19.43"/>
    <col collapsed="false" customWidth="true" hidden="false" outlineLevel="0" max="3" min="3" style="1" width="17"/>
    <col collapsed="false" customWidth="true" hidden="false" outlineLevel="0" max="4" min="4" style="1" width="27.42"/>
    <col collapsed="false" customWidth="true" hidden="false" outlineLevel="0" max="5" min="5" style="1" width="13.57"/>
    <col collapsed="false" customWidth="true" hidden="false" outlineLevel="0" max="6" min="6" style="1" width="15.57"/>
    <col collapsed="false" customWidth="false" hidden="false" outlineLevel="0" max="16384" min="7" style="1" width="9.14"/>
  </cols>
  <sheetData>
    <row r="1" customFormat="false" ht="18.75" hidden="false" customHeight="false" outlineLevel="0" collapsed="false">
      <c r="B1" s="1" t="s">
        <v>0</v>
      </c>
    </row>
    <row r="2" customFormat="false" ht="26.25" hidden="false" customHeight="true" outlineLevel="0" collapsed="false">
      <c r="C2" s="2" t="s">
        <v>1</v>
      </c>
      <c r="F2" s="2" t="s">
        <v>2</v>
      </c>
    </row>
    <row r="3" customFormat="false" ht="18.75" hidden="false" customHeight="false" outlineLevel="0" collapsed="false">
      <c r="C3" s="3" t="n">
        <f aca="true">TODAY()</f>
        <v>45996</v>
      </c>
      <c r="F3" s="4" t="n">
        <v>43</v>
      </c>
    </row>
    <row r="4" customFormat="false" ht="48.5" hidden="false" customHeight="false" outlineLevel="0" collapsed="false">
      <c r="A4" s="5" t="s">
        <v>3</v>
      </c>
      <c r="B4" s="6" t="s">
        <v>4</v>
      </c>
      <c r="C4" s="7" t="s">
        <v>5</v>
      </c>
      <c r="D4" s="7" t="s">
        <v>6</v>
      </c>
      <c r="E4" s="6" t="s">
        <v>7</v>
      </c>
      <c r="F4" s="6" t="s">
        <v>8</v>
      </c>
    </row>
    <row r="5" customFormat="false" ht="18.75" hidden="false" customHeight="false" outlineLevel="0" collapsed="false">
      <c r="A5" s="4" t="n">
        <v>1</v>
      </c>
      <c r="B5" s="4" t="s">
        <v>9</v>
      </c>
      <c r="C5" s="8" t="s">
        <v>10</v>
      </c>
      <c r="D5" s="9" t="n">
        <v>52000</v>
      </c>
      <c r="E5" s="10" t="e">
        <f aca="false">IF($C$3-C5&gt;365,80%*D5,IF($C$3-C5&gt;365/2,85%*D5,IF($C$3-C5&gt;60,95%*D5,D5)))</f>
        <v>#VALUE!</v>
      </c>
      <c r="F5" s="4"/>
    </row>
    <row r="6" customFormat="false" ht="18.75" hidden="false" customHeight="false" outlineLevel="0" collapsed="false">
      <c r="A6" s="4" t="n">
        <v>2</v>
      </c>
      <c r="B6" s="4" t="s">
        <v>11</v>
      </c>
      <c r="C6" s="8" t="s">
        <v>12</v>
      </c>
      <c r="D6" s="9" t="n">
        <v>47500</v>
      </c>
      <c r="E6" s="4" t="n">
        <v>13</v>
      </c>
      <c r="F6" s="4" t="n">
        <f aca="false">E6*F3</f>
        <v>559</v>
      </c>
    </row>
    <row r="7" customFormat="false" ht="18.75" hidden="false" customHeight="false" outlineLevel="0" collapsed="false">
      <c r="A7" s="4" t="n">
        <v>3</v>
      </c>
      <c r="B7" s="4" t="s">
        <v>13</v>
      </c>
      <c r="C7" s="8" t="s">
        <v>14</v>
      </c>
      <c r="D7" s="9" t="n">
        <v>59000</v>
      </c>
      <c r="E7" s="4"/>
      <c r="F7" s="4"/>
    </row>
    <row r="8" customFormat="false" ht="18.75" hidden="false" customHeight="false" outlineLevel="0" collapsed="false">
      <c r="A8" s="4" t="n">
        <v>4</v>
      </c>
      <c r="B8" s="4" t="s">
        <v>15</v>
      </c>
      <c r="C8" s="8" t="s">
        <v>16</v>
      </c>
      <c r="D8" s="9" t="n">
        <v>31000</v>
      </c>
      <c r="E8" s="4"/>
      <c r="F8" s="4"/>
    </row>
    <row r="9" customFormat="false" ht="18.75" hidden="false" customHeight="false" outlineLevel="0" collapsed="false">
      <c r="A9" s="4" t="n">
        <v>5</v>
      </c>
      <c r="B9" s="4" t="s">
        <v>17</v>
      </c>
      <c r="C9" s="8" t="s">
        <v>18</v>
      </c>
      <c r="D9" s="9" t="n">
        <v>27500</v>
      </c>
      <c r="E9" s="4"/>
      <c r="F9" s="4"/>
    </row>
    <row r="10" customFormat="false" ht="18.75" hidden="false" customHeight="false" outlineLevel="0" collapsed="false">
      <c r="A10" s="4" t="n">
        <v>6</v>
      </c>
      <c r="B10" s="4" t="s">
        <v>19</v>
      </c>
      <c r="C10" s="8" t="s">
        <v>20</v>
      </c>
      <c r="D10" s="9" t="n">
        <v>28000</v>
      </c>
      <c r="E10" s="4"/>
      <c r="F10" s="4"/>
    </row>
    <row r="11" customFormat="false" ht="18.75" hidden="false" customHeight="false" outlineLevel="0" collapsed="false">
      <c r="A11" s="4" t="n">
        <v>7</v>
      </c>
      <c r="B11" s="4" t="s">
        <v>21</v>
      </c>
      <c r="C11" s="8" t="s">
        <v>22</v>
      </c>
      <c r="D11" s="9" t="n">
        <v>33500</v>
      </c>
      <c r="E11" s="4"/>
      <c r="F11" s="4"/>
    </row>
    <row r="12" customFormat="false" ht="18.75" hidden="false" customHeight="false" outlineLevel="0" collapsed="false">
      <c r="A12" s="4" t="n">
        <v>8</v>
      </c>
      <c r="B12" s="4" t="s">
        <v>23</v>
      </c>
      <c r="C12" s="8" t="s">
        <v>24</v>
      </c>
      <c r="D12" s="9" t="n">
        <v>24000</v>
      </c>
      <c r="E12" s="4"/>
      <c r="F12" s="11"/>
    </row>
    <row r="13" customFormat="false" ht="18.75" hidden="false" customHeight="false" outlineLevel="0" collapsed="false">
      <c r="A13" s="4" t="n">
        <v>9</v>
      </c>
      <c r="B13" s="4" t="s">
        <v>25</v>
      </c>
      <c r="C13" s="8" t="s">
        <v>26</v>
      </c>
      <c r="D13" s="9" t="n">
        <v>23500</v>
      </c>
      <c r="E13" s="4"/>
      <c r="F13" s="4"/>
    </row>
    <row r="14" customFormat="false" ht="18.75" hidden="false" customHeight="false" outlineLevel="0" collapsed="false">
      <c r="A14" s="4" t="n">
        <v>10</v>
      </c>
      <c r="B14" s="4" t="s">
        <v>27</v>
      </c>
      <c r="C14" s="8" t="s">
        <v>28</v>
      </c>
      <c r="D14" s="9" t="n">
        <v>26000</v>
      </c>
      <c r="E14" s="4"/>
      <c r="F14" s="4"/>
    </row>
    <row r="21" customFormat="false" ht="18.75" hidden="false" customHeight="false" outlineLevel="0" collapsed="false">
      <c r="B21" s="4" t="s">
        <v>29</v>
      </c>
      <c r="C21" s="4" t="s">
        <v>30</v>
      </c>
      <c r="D21" s="4" t="s">
        <v>31</v>
      </c>
    </row>
    <row r="22" customFormat="false" ht="18.75" hidden="false" customHeight="false" outlineLevel="0" collapsed="false">
      <c r="B22" s="4" t="s">
        <v>32</v>
      </c>
      <c r="C22" s="4" t="n">
        <v>76</v>
      </c>
      <c r="D22" s="4" t="n">
        <f aca="false" t="array" ref="D22:D22">_xlfn.IFS(C22&gt;=90,5,C22&gt;=74,4,C22=60,3,C22&lt;=60,2)</f>
        <v>4</v>
      </c>
    </row>
    <row r="23" customFormat="false" ht="18.75" hidden="false" customHeight="false" outlineLevel="0" collapsed="false">
      <c r="B23" s="4" t="s">
        <v>33</v>
      </c>
      <c r="C23" s="4" t="n">
        <v>100</v>
      </c>
      <c r="D23" s="4" t="n">
        <f aca="false" t="array" ref="D23:D23">_xlfn.IFS(C23&gt;=90,5,C23&gt;=74,4,C23=60,3,C23&lt;=60,2)</f>
        <v>5</v>
      </c>
    </row>
    <row r="24" customFormat="false" ht="18.75" hidden="false" customHeight="false" outlineLevel="0" collapsed="false">
      <c r="B24" s="4" t="s">
        <v>34</v>
      </c>
      <c r="C24" s="4" t="n">
        <v>99</v>
      </c>
      <c r="D24" s="4" t="n">
        <f aca="false" t="array" ref="D24:D24">_xlfn.IFS(C24&gt;=90,5,C24&gt;=74,4,C24=60,3,C24&lt;=60,2)</f>
        <v>5</v>
      </c>
    </row>
    <row r="25" customFormat="false" ht="18.75" hidden="false" customHeight="false" outlineLevel="0" collapsed="false">
      <c r="B25" s="4" t="s">
        <v>35</v>
      </c>
      <c r="C25" s="4" t="n">
        <v>50</v>
      </c>
      <c r="D25" s="4" t="n">
        <f aca="false" t="array" ref="D25:D25">_xlfn.IFS(C25&gt;=90,5,C25&gt;=74,4,C25=60,3,C25&lt;=60,2)</f>
        <v>2</v>
      </c>
    </row>
    <row r="26" customFormat="false" ht="18.75" hidden="false" customHeight="false" outlineLevel="0" collapsed="false">
      <c r="B26" s="12"/>
      <c r="C26" s="12"/>
      <c r="D26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Dmitro Herman</dc:creator>
  <dc:description/>
  <dc:language>en-US</dc:language>
  <cp:lastModifiedBy/>
  <dcterms:modified xsi:type="dcterms:W3CDTF">2025-12-05T03:55:38Z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