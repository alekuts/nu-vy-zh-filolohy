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Nigok\OneDrive\Робочий стіл\Димы\Університет\3 семестр\"/>
    </mc:Choice>
  </mc:AlternateContent>
  <xr:revisionPtr revIDLastSave="0" documentId="13_ncr:1_{7E5A5296-6865-4070-90D0-43C33A45286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Лист1" sheetId="1" r:id="rId1"/>
    <sheet name="Відомість про постачання" sheetId="2" r:id="rId2"/>
  </sheets>
  <definedNames>
    <definedName name="_xlnm._FilterDatabase" localSheetId="1" hidden="1">'Відомість про постачання'!$A$1:$D$26</definedName>
    <definedName name="_xlnm.Extract" localSheetId="1">'Відомість про постачання'!$I$4:$L$20</definedName>
    <definedName name="_xlnm.Criteria" localSheetId="1">'Відомість про постачання'!$I$1:$L$2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6" i="2" l="1"/>
  <c r="A25" i="2"/>
  <c r="A24" i="2"/>
  <c r="A23" i="2"/>
  <c r="A22" i="2"/>
  <c r="A21" i="2"/>
  <c r="A19" i="2"/>
  <c r="A20" i="2"/>
  <c r="A18" i="2"/>
  <c r="A17" i="2"/>
  <c r="A16" i="2"/>
  <c r="A15" i="2"/>
  <c r="A3" i="2"/>
  <c r="A14" i="2"/>
  <c r="A13" i="2"/>
  <c r="A12" i="2"/>
  <c r="A11" i="2"/>
  <c r="A10" i="2"/>
  <c r="A9" i="2"/>
  <c r="A8" i="2"/>
  <c r="A7" i="2"/>
  <c r="A6" i="2"/>
  <c r="A5" i="2"/>
  <c r="A4" i="2"/>
  <c r="A2" i="2"/>
</calcChain>
</file>

<file path=xl/sharedStrings.xml><?xml version="1.0" encoding="utf-8"?>
<sst xmlns="http://schemas.openxmlformats.org/spreadsheetml/2006/main" count="72" uniqueCount="15">
  <si>
    <t>Місяць</t>
  </si>
  <si>
    <t>Постачальник</t>
  </si>
  <si>
    <t>Товар</t>
  </si>
  <si>
    <t>Кременчук</t>
  </si>
  <si>
    <t>Полтава</t>
  </si>
  <si>
    <t>Харків</t>
  </si>
  <si>
    <t>Київ</t>
  </si>
  <si>
    <t>Чернігів</t>
  </si>
  <si>
    <t>Папір</t>
  </si>
  <si>
    <t>Фанера</t>
  </si>
  <si>
    <t>Поліетилен</t>
  </si>
  <si>
    <t>Тканина</t>
  </si>
  <si>
    <t>Картон</t>
  </si>
  <si>
    <t>Обсяг, т</t>
  </si>
  <si>
    <t>&gt;=1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</si>
</sst>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dd\.mm\.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A28BE-EA29-4481-8E91-6A571A022438}">
  <dimension ref="A1:L26"/>
  <sheetViews>
    <sheetView tabSelected="1" workbookViewId="0">
      <selection activeCell="C10" sqref="C10"/>
    </sheetView>
  </sheetViews>
  <sheetFormatPr defaultRowHeight="15" x14ac:dyDescent="0.25"/>
  <cols>
    <col min="1" max="1" width="11.85546875" customWidth="1"/>
    <col min="2" max="2" width="17" customWidth="1"/>
    <col min="3" max="3" width="17.28515625" customWidth="1"/>
    <col min="4" max="4" width="12.85546875" customWidth="1"/>
    <col min="8" max="8" width="9.140625" customWidth="1"/>
    <col min="9" max="9" width="16.5703125" customWidth="1"/>
    <col min="10" max="10" width="15.7109375" customWidth="1"/>
    <col min="11" max="12" width="11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13</v>
      </c>
      <c r="I1" t="s">
        <v>0</v>
      </c>
      <c r="J1" t="s">
        <v>1</v>
      </c>
      <c r="K1" t="s">
        <v>2</v>
      </c>
      <c r="L1" t="s">
        <v>13</v>
      </c>
    </row>
    <row r="2" spans="1:12" x14ac:dyDescent="0.25">
      <c r="A2" s="1">
        <f>DATE(2025,1,5)</f>
        <v>45662</v>
      </c>
      <c r="B2" t="s">
        <v>3</v>
      </c>
      <c r="C2" t="s">
        <v>8</v>
      </c>
      <c r="D2">
        <v>4</v>
      </c>
      <c r="J2" t="s">
        <v>6</v>
      </c>
      <c r="L2" t="s">
        <v>14</v>
      </c>
    </row>
    <row r="3" spans="1:12" x14ac:dyDescent="0.25">
      <c r="A3" s="1">
        <f>DATE(2025,1,17)</f>
        <v>45674</v>
      </c>
      <c r="B3" t="s">
        <v>4</v>
      </c>
      <c r="C3" t="s">
        <v>9</v>
      </c>
      <c r="D3">
        <v>3</v>
      </c>
    </row>
    <row r="4" spans="1:12" x14ac:dyDescent="0.25">
      <c r="A4" s="1">
        <f>DATE(2025,2,14)</f>
        <v>45702</v>
      </c>
      <c r="B4" t="s">
        <v>5</v>
      </c>
      <c r="C4" t="s">
        <v>9</v>
      </c>
      <c r="D4">
        <v>5</v>
      </c>
      <c r="I4" t="s">
        <v>0</v>
      </c>
      <c r="J4" t="s">
        <v>1</v>
      </c>
      <c r="K4" t="s">
        <v>2</v>
      </c>
      <c r="L4" t="s">
        <v>13</v>
      </c>
    </row>
    <row r="5" spans="1:12" x14ac:dyDescent="0.25">
      <c r="A5" s="1">
        <f>DATE(2025,3,3)</f>
        <v>45719</v>
      </c>
      <c r="B5" t="s">
        <v>3</v>
      </c>
      <c r="C5" t="s">
        <v>10</v>
      </c>
      <c r="D5">
        <v>2</v>
      </c>
      <c r="I5" s="1">
        <v>45732</v>
      </c>
      <c r="J5" t="s">
        <v>6</v>
      </c>
      <c r="K5" t="s">
        <v>11</v>
      </c>
      <c r="L5">
        <v>1</v>
      </c>
    </row>
    <row r="6" spans="1:12" x14ac:dyDescent="0.25">
      <c r="A6" s="1">
        <f>DATE(2025,3,16)</f>
        <v>45732</v>
      </c>
      <c r="B6" t="s">
        <v>6</v>
      </c>
      <c r="C6" t="s">
        <v>11</v>
      </c>
      <c r="D6">
        <v>1</v>
      </c>
      <c r="I6" s="1">
        <v>45823</v>
      </c>
      <c r="J6" t="s">
        <v>6</v>
      </c>
      <c r="K6" t="s">
        <v>10</v>
      </c>
      <c r="L6">
        <v>2</v>
      </c>
    </row>
    <row r="7" spans="1:12" x14ac:dyDescent="0.25">
      <c r="A7" s="1">
        <f>DATE(2025,3,18)</f>
        <v>45734</v>
      </c>
      <c r="B7" t="s">
        <v>7</v>
      </c>
      <c r="C7" t="s">
        <v>12</v>
      </c>
      <c r="D7">
        <v>3</v>
      </c>
      <c r="I7" s="1">
        <v>45878</v>
      </c>
      <c r="J7" t="s">
        <v>6</v>
      </c>
      <c r="K7" t="s">
        <v>11</v>
      </c>
      <c r="L7">
        <v>5</v>
      </c>
    </row>
    <row r="8" spans="1:12" x14ac:dyDescent="0.25">
      <c r="A8" s="1">
        <f>DATE(2025,4,2)</f>
        <v>45749</v>
      </c>
      <c r="B8" t="s">
        <v>3</v>
      </c>
      <c r="C8" t="s">
        <v>8</v>
      </c>
      <c r="D8">
        <v>2</v>
      </c>
      <c r="I8" s="1">
        <v>45994</v>
      </c>
      <c r="J8" t="s">
        <v>6</v>
      </c>
      <c r="K8" t="s">
        <v>11</v>
      </c>
      <c r="L8">
        <v>4</v>
      </c>
    </row>
    <row r="9" spans="1:12" x14ac:dyDescent="0.25">
      <c r="A9" s="1">
        <f>DATE(2025,4,9)</f>
        <v>45756</v>
      </c>
      <c r="B9" t="s">
        <v>5</v>
      </c>
      <c r="C9" t="s">
        <v>9</v>
      </c>
      <c r="D9">
        <v>4</v>
      </c>
    </row>
    <row r="10" spans="1:12" x14ac:dyDescent="0.25">
      <c r="A10" s="1">
        <f>DATE(2025,5,3)</f>
        <v>45780</v>
      </c>
      <c r="B10" t="s">
        <v>4</v>
      </c>
      <c r="C10" t="s">
        <v>11</v>
      </c>
      <c r="D10">
        <v>3</v>
      </c>
    </row>
    <row r="11" spans="1:12" x14ac:dyDescent="0.25">
      <c r="A11" s="1">
        <f>DATE(2025,5,31)</f>
        <v>45808</v>
      </c>
      <c r="B11" t="s">
        <v>7</v>
      </c>
      <c r="C11" t="s">
        <v>12</v>
      </c>
      <c r="D11">
        <v>1</v>
      </c>
    </row>
    <row r="12" spans="1:12" x14ac:dyDescent="0.25">
      <c r="A12" s="1">
        <f>DATE(2025,6,15)</f>
        <v>45823</v>
      </c>
      <c r="B12" t="s">
        <v>6</v>
      </c>
      <c r="C12" t="s">
        <v>10</v>
      </c>
      <c r="D12">
        <v>2</v>
      </c>
    </row>
    <row r="13" spans="1:12" x14ac:dyDescent="0.25">
      <c r="A13" s="1">
        <f>DATE(2025,6,29)</f>
        <v>45837</v>
      </c>
      <c r="B13" t="s">
        <v>4</v>
      </c>
      <c r="C13" t="s">
        <v>12</v>
      </c>
      <c r="D13">
        <v>2</v>
      </c>
    </row>
    <row r="14" spans="1:12" x14ac:dyDescent="0.25">
      <c r="A14" s="1">
        <f>DATE(2025,7,7)</f>
        <v>45845</v>
      </c>
      <c r="B14" t="s">
        <v>3</v>
      </c>
      <c r="C14" t="s">
        <v>8</v>
      </c>
      <c r="D14">
        <v>3</v>
      </c>
    </row>
    <row r="15" spans="1:12" x14ac:dyDescent="0.25">
      <c r="A15" s="1">
        <f>DATE(2025,7,23)</f>
        <v>45861</v>
      </c>
      <c r="B15" t="s">
        <v>5</v>
      </c>
      <c r="C15" t="s">
        <v>11</v>
      </c>
      <c r="D15">
        <v>4</v>
      </c>
    </row>
    <row r="16" spans="1:12" x14ac:dyDescent="0.25">
      <c r="A16" s="1">
        <f>DATE(2025,8,9)</f>
        <v>45878</v>
      </c>
      <c r="B16" t="s">
        <v>6</v>
      </c>
      <c r="C16" t="s">
        <v>11</v>
      </c>
      <c r="D16">
        <v>5</v>
      </c>
    </row>
    <row r="17" spans="1:4" x14ac:dyDescent="0.25">
      <c r="A17" s="1">
        <f>DATE(2025,8,30)</f>
        <v>45899</v>
      </c>
      <c r="B17" t="s">
        <v>7</v>
      </c>
      <c r="C17" t="s">
        <v>10</v>
      </c>
      <c r="D17">
        <v>4</v>
      </c>
    </row>
    <row r="18" spans="1:4" x14ac:dyDescent="0.25">
      <c r="A18" s="1">
        <f>DATE(2025,9,9)</f>
        <v>45909</v>
      </c>
      <c r="B18" t="s">
        <v>4</v>
      </c>
      <c r="C18" t="s">
        <v>9</v>
      </c>
      <c r="D18">
        <v>3</v>
      </c>
    </row>
    <row r="19" spans="1:4" x14ac:dyDescent="0.25">
      <c r="A19" s="1">
        <f>DATE(2025,10,14)</f>
        <v>45944</v>
      </c>
      <c r="B19" t="s">
        <v>5</v>
      </c>
      <c r="C19" t="s">
        <v>8</v>
      </c>
      <c r="D19">
        <v>2</v>
      </c>
    </row>
    <row r="20" spans="1:4" x14ac:dyDescent="0.25">
      <c r="A20" s="1">
        <f>DATE(2025,10,15)</f>
        <v>45945</v>
      </c>
      <c r="B20" t="s">
        <v>3</v>
      </c>
      <c r="C20" t="s">
        <v>12</v>
      </c>
      <c r="D20">
        <v>2</v>
      </c>
    </row>
    <row r="21" spans="1:4" x14ac:dyDescent="0.25">
      <c r="A21" s="1">
        <f>DATE(2025,11,1)</f>
        <v>45962</v>
      </c>
      <c r="B21" t="s">
        <v>7</v>
      </c>
      <c r="C21" t="s">
        <v>10</v>
      </c>
      <c r="D21">
        <v>1</v>
      </c>
    </row>
    <row r="22" spans="1:4" x14ac:dyDescent="0.25">
      <c r="A22" s="1">
        <f>DATE(2025,12,3)</f>
        <v>45994</v>
      </c>
      <c r="B22" t="s">
        <v>6</v>
      </c>
      <c r="C22" t="s">
        <v>11</v>
      </c>
      <c r="D22">
        <v>4</v>
      </c>
    </row>
    <row r="23" spans="1:4" x14ac:dyDescent="0.25">
      <c r="A23" s="1">
        <f>DATE(2025,12,8)</f>
        <v>45999</v>
      </c>
      <c r="B23" t="s">
        <v>4</v>
      </c>
      <c r="C23" t="s">
        <v>12</v>
      </c>
      <c r="D23">
        <v>5</v>
      </c>
    </row>
    <row r="24" spans="1:4" x14ac:dyDescent="0.25">
      <c r="A24" s="1">
        <f>DATE(2025,12,11)</f>
        <v>46002</v>
      </c>
      <c r="B24" t="s">
        <v>3</v>
      </c>
      <c r="C24" t="s">
        <v>8</v>
      </c>
      <c r="D24">
        <v>3</v>
      </c>
    </row>
    <row r="25" spans="1:4" x14ac:dyDescent="0.25">
      <c r="A25" s="1">
        <f>DATE(2025,12,20)</f>
        <v>46011</v>
      </c>
      <c r="B25" t="s">
        <v>7</v>
      </c>
      <c r="C25" t="s">
        <v>10</v>
      </c>
      <c r="D25">
        <v>2</v>
      </c>
    </row>
    <row r="26" spans="1:4" x14ac:dyDescent="0.25">
      <c r="A26" s="1">
        <f>DATE(2025,12,29)</f>
        <v>46020</v>
      </c>
      <c r="B26" t="s">
        <v>5</v>
      </c>
      <c r="C26" t="s">
        <v>9</v>
      </c>
      <c r="D26">
        <v>2</v>
      </c>
    </row>
  </sheetData>
  <autoFilter ref="A1:D26" xr:uid="{A24A28BE-EA29-4481-8E91-6A571A022438}"/>
  <sortState xmlns:xlrd2="http://schemas.microsoft.com/office/spreadsheetml/2017/richdata2" ref="A2:D26">
    <sortCondition ref="A2:A26"/>
  </sortState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Лист1</vt:lpstr>
      <vt:lpstr>Відомість про постачання</vt:lpstr>
      <vt:lpstr>'Відомість про постачання'!Извлечь</vt:lpstr>
      <vt:lpstr>'Відомість про постачання'!Критерии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Dmitro Herman</dc:creator>
  <cp:lastModifiedBy>Dmitriy IDK</cp:lastModifiedBy>
  <dcterms:created xsi:type="dcterms:W3CDTF">2015-06-05T18:19:34Z</dcterms:created>
  <dcterms:modified xsi:type="dcterms:W3CDTF">2025-12-02T02:55:26Z</dcterms:modified>
</cp:coreProperties>
</file>